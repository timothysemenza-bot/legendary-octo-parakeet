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imot\Documents\Proposal-Microsite\boss-key-llc-admin\"/>
    </mc:Choice>
  </mc:AlternateContent>
  <xr:revisionPtr revIDLastSave="0" documentId="13_ncr:1_{EE042F35-1168-4927-898F-E2BFD61B54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puts" sheetId="1" r:id="rId1"/>
    <sheet name="Annual_Model" sheetId="2" r:id="rId2"/>
    <sheet name="Monthly_Cashflow" sheetId="3" r:id="rId3"/>
    <sheet name="Scenario_Compare" sheetId="4" r:id="rId4"/>
    <sheet name="N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C13" i="4"/>
  <c r="C12" i="4"/>
  <c r="B12" i="4"/>
  <c r="C11" i="4"/>
  <c r="B11" i="4"/>
  <c r="C10" i="4"/>
  <c r="B10" i="4"/>
  <c r="C9" i="4"/>
  <c r="B9" i="4"/>
  <c r="B13" i="4" s="1"/>
  <c r="D8" i="4"/>
  <c r="D14" i="4" s="1"/>
  <c r="C7" i="4"/>
  <c r="B7" i="4"/>
  <c r="C6" i="4"/>
  <c r="B6" i="4"/>
  <c r="C5" i="4"/>
  <c r="B5" i="4"/>
  <c r="C4" i="4"/>
  <c r="C8" i="4" s="1"/>
  <c r="C14" i="4" s="1"/>
  <c r="B4" i="4"/>
  <c r="B8" i="4" s="1"/>
  <c r="B14" i="4" s="1"/>
  <c r="D19" i="1"/>
  <c r="D18" i="1"/>
  <c r="D17" i="1"/>
  <c r="D16" i="1"/>
  <c r="D15" i="1"/>
  <c r="D14" i="1"/>
  <c r="C9" i="2" s="1"/>
  <c r="D13" i="1"/>
  <c r="C7" i="2" s="1"/>
  <c r="D12" i="1"/>
  <c r="D11" i="1"/>
  <c r="D10" i="1"/>
  <c r="D9" i="1"/>
  <c r="D8" i="1"/>
  <c r="D7" i="1"/>
  <c r="D6" i="1"/>
  <c r="D5" i="1"/>
  <c r="B4" i="2" l="1"/>
  <c r="B12" i="2"/>
  <c r="C5" i="2"/>
  <c r="C9" i="3"/>
  <c r="C10" i="2"/>
  <c r="B10" i="2"/>
  <c r="C4" i="2"/>
  <c r="C12" i="2"/>
  <c r="C4" i="3"/>
  <c r="C5" i="3"/>
  <c r="C6" i="3"/>
  <c r="C7" i="3"/>
  <c r="C8" i="3"/>
  <c r="C10" i="3"/>
  <c r="C11" i="3"/>
  <c r="C12" i="3"/>
  <c r="C13" i="3"/>
  <c r="C14" i="3"/>
  <c r="C15" i="3"/>
  <c r="B5" i="2"/>
  <c r="B9" i="2"/>
  <c r="D4" i="3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B7" i="2"/>
  <c r="B6" i="2" l="1"/>
  <c r="C6" i="2"/>
  <c r="E4" i="3"/>
  <c r="E17" i="3" s="1"/>
  <c r="D17" i="3"/>
  <c r="C17" i="3"/>
  <c r="B15" i="3" l="1"/>
  <c r="F15" i="3" s="1"/>
  <c r="B14" i="3"/>
  <c r="F14" i="3" s="1"/>
  <c r="B13" i="3"/>
  <c r="F13" i="3" s="1"/>
  <c r="B12" i="3"/>
  <c r="F12" i="3" s="1"/>
  <c r="B11" i="3"/>
  <c r="F11" i="3" s="1"/>
  <c r="B10" i="3"/>
  <c r="F10" i="3" s="1"/>
  <c r="B9" i="3"/>
  <c r="F9" i="3" s="1"/>
  <c r="B8" i="3"/>
  <c r="F8" i="3" s="1"/>
  <c r="B7" i="3"/>
  <c r="F7" i="3" s="1"/>
  <c r="B6" i="3"/>
  <c r="F6" i="3" s="1"/>
  <c r="B5" i="3"/>
  <c r="F5" i="3" s="1"/>
  <c r="B4" i="3"/>
  <c r="B8" i="2"/>
  <c r="C15" i="2"/>
  <c r="B15" i="2"/>
  <c r="C8" i="2"/>
  <c r="G9" i="3" l="1"/>
  <c r="H9" i="3" s="1"/>
  <c r="G10" i="3"/>
  <c r="H10" i="3" s="1"/>
  <c r="G11" i="3"/>
  <c r="H11" i="3" s="1"/>
  <c r="G5" i="3"/>
  <c r="H5" i="3" s="1"/>
  <c r="G13" i="3"/>
  <c r="H13" i="3" s="1"/>
  <c r="C11" i="2"/>
  <c r="B11" i="2"/>
  <c r="B17" i="3"/>
  <c r="F4" i="3"/>
  <c r="G12" i="3"/>
  <c r="H12" i="3" s="1"/>
  <c r="G14" i="3"/>
  <c r="H14" i="3" s="1"/>
  <c r="G8" i="3"/>
  <c r="H8" i="3" s="1"/>
  <c r="G6" i="3"/>
  <c r="H6" i="3" s="1"/>
  <c r="G7" i="3"/>
  <c r="H7" i="3" s="1"/>
  <c r="G15" i="3"/>
  <c r="H15" i="3" s="1"/>
  <c r="G4" i="3" l="1"/>
  <c r="G17" i="3" s="1"/>
  <c r="F17" i="3"/>
  <c r="C13" i="2"/>
  <c r="B14" i="2" s="1"/>
  <c r="B13" i="2"/>
  <c r="C14" i="2" l="1"/>
  <c r="H4" i="3"/>
  <c r="H17" i="3" l="1"/>
  <c r="I4" i="3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7" i="3" s="1"/>
</calcChain>
</file>

<file path=xl/sharedStrings.xml><?xml version="1.0" encoding="utf-8"?>
<sst xmlns="http://schemas.openxmlformats.org/spreadsheetml/2006/main" count="95" uniqueCount="84">
  <si>
    <t>Boss Key Financial Architecture Model</t>
  </si>
  <si>
    <t>Scenario Selection</t>
  </si>
  <si>
    <t>Moderate</t>
  </si>
  <si>
    <t>Use dropdown in B2</t>
  </si>
  <si>
    <t>Assumption</t>
  </si>
  <si>
    <t>Conservative</t>
  </si>
  <si>
    <t>Selected</t>
  </si>
  <si>
    <t>Business Retainer Clients (avg)</t>
  </si>
  <si>
    <t>Seller Retainer Clients (avg)</t>
  </si>
  <si>
    <t>Avg Business Retainer ($/mo)</t>
  </si>
  <si>
    <t>Avg Seller Retainer ($/mo)</t>
  </si>
  <si>
    <t>Business Diagnostics per Year</t>
  </si>
  <si>
    <t>Avg Business Diagnostic Fee ($)</t>
  </si>
  <si>
    <t>Seller Diagnostics per Year</t>
  </si>
  <si>
    <t>Avg Seller Diagnostic Fee ($)</t>
  </si>
  <si>
    <t>Non-Owner Overhead ($/yr)</t>
  </si>
  <si>
    <t>Reasonable Salary ($/yr)</t>
  </si>
  <si>
    <t>Employer Payroll Tax Rate</t>
  </si>
  <si>
    <t>Federal Effective Tax Rate</t>
  </si>
  <si>
    <t>State Effective Tax Rate</t>
  </si>
  <si>
    <t>Quarterly Tax Reserve % (of distributions)</t>
  </si>
  <si>
    <t>Operating Buffer Target % of Revenue</t>
  </si>
  <si>
    <t>Target Annual Revenue</t>
  </si>
  <si>
    <t>Prior W-2 Salary Reference</t>
  </si>
  <si>
    <t>Annual Financial Architecture</t>
  </si>
  <si>
    <t>Metric</t>
  </si>
  <si>
    <t>Formula/Driver</t>
  </si>
  <si>
    <t>Amount</t>
  </si>
  <si>
    <t>Notes</t>
  </si>
  <si>
    <t>Retainer Revenue</t>
  </si>
  <si>
    <t>Business + seller retainers</t>
  </si>
  <si>
    <t>Diagnostic Revenue</t>
  </si>
  <si>
    <t>Business + seller diagnostics</t>
  </si>
  <si>
    <t>Gross Revenue</t>
  </si>
  <si>
    <t>Non-Owner Overhead</t>
  </si>
  <si>
    <t>Pre-Owner Comp Operating Profit</t>
  </si>
  <si>
    <t>Reasonable Salary</t>
  </si>
  <si>
    <t>Employer Payroll Tax</t>
  </si>
  <si>
    <t>S-Corp Profit (Pre-Income Tax)</t>
  </si>
  <si>
    <t>Combined Effective Tax Rate</t>
  </si>
  <si>
    <t>Estimated Income Tax on Salary + Profit</t>
  </si>
  <si>
    <t>Planning estimate</t>
  </si>
  <si>
    <t>Estimated After-Tax Owner Cash</t>
  </si>
  <si>
    <t>Salary + distributions net of est tax</t>
  </si>
  <si>
    <t>Operating Buffer Target</t>
  </si>
  <si>
    <t>Monthly Cash Flow Discipline (Planning)</t>
  </si>
  <si>
    <t>Month</t>
  </si>
  <si>
    <t>Revenue</t>
  </si>
  <si>
    <t>Overhead</t>
  </si>
  <si>
    <t>Salary</t>
  </si>
  <si>
    <t>Pre-Tax Profit</t>
  </si>
  <si>
    <t>Tax Reserve Transfer</t>
  </si>
  <si>
    <t>Owner Distribution (Gross)</t>
  </si>
  <si>
    <t>Ending Operating Buffer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</si>
  <si>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</si>
  <si>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</si>
  <si>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</si>
  <si>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</si>
  <si>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</si>
  <si>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</si>
  <si>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</si>
  <si>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</si>
  <si>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</si>
  <si>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</si>
  <si>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</si>
  <si>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</si>
  <si>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Totals</t>
  </si>
  <si>
    <t>Scenario Comparison (Conservative / Moderate / Strong)</t>
  </si>
  <si>
    <t>Strong</t>
  </si>
  <si>
    <t>Business Clients</t>
  </si>
  <si>
    <t>Seller Clients</t>
  </si>
  <si>
    <t>Business Diagnostics (#)</t>
  </si>
  <si>
    <t>Avg Business Diagnostic Fee</t>
  </si>
  <si>
    <t>Seller Diagnostics (#)</t>
  </si>
  <si>
    <t>Avg Seller Diagnostic Fee</t>
  </si>
  <si>
    <t>Total Revenue</t>
  </si>
  <si>
    <t>Model Notes</t>
  </si>
  <si>
    <t>1) This is a planning model, not tax/legal advice.</t>
  </si>
  <si>
    <t>2) Change Inputs!B2 between Conservative and Moderate to toggle the model.</t>
  </si>
  <si>
    <t>3) Salary level should be reviewed with CPA for reasonable compensation support.</t>
  </si>
  <si>
    <t>4) Tax reserve strategy assumes disciplined quarterly set-asides.</t>
  </si>
  <si>
    <t>5) Keep client roster capped to preserve delivery quality and margin.</t>
  </si>
  <si>
    <t>6) Roster mix assumptions separate business and seller client economics.</t>
  </si>
  <si>
    <t>7) Moderate mix target: 4 business retainers + 1 seller retainer, with 6 business and 4 seller diagnostics/year.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</si>
</sst>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4"/>
      <color rgb="FF0B1020"/>
      <name val="Calibri"/>
    </font>
    <font>
      <i/>
      <sz val="11"/>
      <color rgb="FF505A71"/>
      <name val="Calibri"/>
    </font>
    <font>
      <b/>
      <sz val="11"/>
      <color rgb="FFFFFFFF"/>
      <name val="Calibri"/>
    </font>
    <font>
      <b/>
      <sz val="11"/>
      <color rgb="FF0B102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B1020"/>
      </patternFill>
    </fill>
    <fill>
      <patternFill patternType="solid">
        <fgColor rgb="FFE8EFFF"/>
      </patternFill>
    </fill>
  </fills>
  <borders count="2">
    <border>
      <left/>
      <right/>
      <top/>
      <bottom/>
      <diagonal/>
    </border>
    <border>
      <left style="thin">
        <color rgb="FFD7DEEB"/>
      </left>
      <right style="thin">
        <color rgb="FFD7DEEB"/>
      </right>
      <top style="thin">
        <color rgb="FFD7DEEB"/>
      </top>
      <bottom style="thin">
        <color rgb="FFD7DE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164" fontId="0" fillId="0" borderId="0" xfId="0" applyNumberFormat="1"/>
    <xf numFmtId="0" fontId="3" fillId="2" borderId="1" xfId="0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2" sqref="B2"/>
    </sheetView>
  </sheetViews>
  <sheetFormatPr defaultRowHeight="15" x14ac:dyDescent="0.25"/>
  <cols>
    <col min="1" max="1" width="42" customWidth="1"/>
    <col min="2" max="3" width="24" customWidth="1"/>
    <col min="4" max="4" width="28" customWidth="1"/>
    <col min="5" max="5" width="26" customWidth="1"/>
    <col min="6" max="6" width="20" customWidth="1"/>
    <col min="7" max="9" width="24" customWidth="1"/>
    <col min="10" max="10" width="28" customWidth="1"/>
  </cols>
  <sheetData>
    <row r="1" spans="1:5" ht="18.75" x14ac:dyDescent="0.3">
      <c r="A1" s="12" t="s">
        <v>0</v>
      </c>
      <c r="B1" s="13"/>
      <c r="C1" s="13"/>
      <c r="D1" s="13"/>
      <c r="E1" s="13"/>
    </row>
    <row r="2" spans="1:5" x14ac:dyDescent="0.25">
      <c r="A2" t="s">
        <v>1</v>
      </c>
      <c r="B2" t="s">
        <v>2</v>
      </c>
      <c r="D2" s="2" t="s">
        <v>3</v>
      </c>
    </row>
    <row r="4" spans="1:5" x14ac:dyDescent="0.25">
      <c r="A4" s="3" t="s">
        <v>4</v>
      </c>
      <c r="B4" s="3" t="s">
        <v>5</v>
      </c>
      <c r="C4" s="3" t="s">
        <v>2</v>
      </c>
      <c r="D4" s="3" t="s">
        <v>6</v>
      </c>
    </row>
    <row r="5" spans="1:5" x14ac:dyDescent="0.25">
      <c r="A5" s="4" t="s">
        <v>7</v>
      </c>
      <c r="B5" s="4">
        <v>4</v>
      </c>
      <c r="C5" s="4">
        <v>4</v>
      </c>
      <c r="D5" s="4">
        <f t="shared" ref="D5:D19" si="0">IF($B$2="Conservative",B5,C5)</f>
        <v>4</v>
      </c>
    </row>
    <row r="6" spans="1:5" x14ac:dyDescent="0.25">
      <c r="A6" s="4" t="s">
        <v>8</v>
      </c>
      <c r="B6" s="4">
        <v>0.5</v>
      </c>
      <c r="C6" s="4">
        <v>1</v>
      </c>
      <c r="D6" s="4">
        <f t="shared" si="0"/>
        <v>1</v>
      </c>
    </row>
    <row r="7" spans="1:5" x14ac:dyDescent="0.25">
      <c r="A7" s="4" t="s">
        <v>9</v>
      </c>
      <c r="B7" s="5">
        <v>5600</v>
      </c>
      <c r="C7" s="5">
        <v>5750</v>
      </c>
      <c r="D7" s="5">
        <f t="shared" si="0"/>
        <v>5750</v>
      </c>
    </row>
    <row r="8" spans="1:5" x14ac:dyDescent="0.25">
      <c r="A8" s="4" t="s">
        <v>10</v>
      </c>
      <c r="B8" s="5">
        <v>2400</v>
      </c>
      <c r="C8" s="5">
        <v>2500</v>
      </c>
      <c r="D8" s="5">
        <f t="shared" si="0"/>
        <v>2500</v>
      </c>
    </row>
    <row r="9" spans="1:5" x14ac:dyDescent="0.25">
      <c r="A9" s="4" t="s">
        <v>11</v>
      </c>
      <c r="B9" s="4">
        <v>6</v>
      </c>
      <c r="C9" s="4">
        <v>6</v>
      </c>
      <c r="D9" s="4">
        <f t="shared" si="0"/>
        <v>6</v>
      </c>
    </row>
    <row r="10" spans="1:5" x14ac:dyDescent="0.25">
      <c r="A10" s="4" t="s">
        <v>12</v>
      </c>
      <c r="B10" s="5">
        <v>5200</v>
      </c>
      <c r="C10" s="5">
        <v>5500</v>
      </c>
      <c r="D10" s="5">
        <f t="shared" si="0"/>
        <v>5500</v>
      </c>
    </row>
    <row r="11" spans="1:5" x14ac:dyDescent="0.25">
      <c r="A11" s="4" t="s">
        <v>13</v>
      </c>
      <c r="B11" s="4">
        <v>3</v>
      </c>
      <c r="C11" s="4">
        <v>4</v>
      </c>
      <c r="D11" s="4">
        <f t="shared" si="0"/>
        <v>4</v>
      </c>
    </row>
    <row r="12" spans="1:5" x14ac:dyDescent="0.25">
      <c r="A12" s="4" t="s">
        <v>14</v>
      </c>
      <c r="B12" s="5">
        <v>1600</v>
      </c>
      <c r="C12" s="5">
        <v>1750</v>
      </c>
      <c r="D12" s="5">
        <f t="shared" si="0"/>
        <v>1750</v>
      </c>
    </row>
    <row r="13" spans="1:5" x14ac:dyDescent="0.25">
      <c r="A13" s="4" t="s">
        <v>15</v>
      </c>
      <c r="B13" s="5">
        <v>45000</v>
      </c>
      <c r="C13" s="5">
        <v>45000</v>
      </c>
      <c r="D13" s="5">
        <f t="shared" si="0"/>
        <v>45000</v>
      </c>
    </row>
    <row r="14" spans="1:5" x14ac:dyDescent="0.25">
      <c r="A14" s="4" t="s">
        <v>16</v>
      </c>
      <c r="B14" s="5">
        <v>130000</v>
      </c>
      <c r="C14" s="5">
        <v>140000</v>
      </c>
      <c r="D14" s="5">
        <f t="shared" si="0"/>
        <v>140000</v>
      </c>
    </row>
    <row r="15" spans="1:5" x14ac:dyDescent="0.25">
      <c r="A15" s="4" t="s">
        <v>17</v>
      </c>
      <c r="B15" s="6">
        <v>7.6499999999999999E-2</v>
      </c>
      <c r="C15" s="6">
        <v>7.6499999999999999E-2</v>
      </c>
      <c r="D15" s="6">
        <f t="shared" si="0"/>
        <v>7.6499999999999999E-2</v>
      </c>
    </row>
    <row r="16" spans="1:5" x14ac:dyDescent="0.25">
      <c r="A16" s="4" t="s">
        <v>18</v>
      </c>
      <c r="B16" s="6">
        <v>0.21</v>
      </c>
      <c r="C16" s="6">
        <v>0.23</v>
      </c>
      <c r="D16" s="6">
        <f t="shared" si="0"/>
        <v>0.23</v>
      </c>
    </row>
    <row r="17" spans="1:4" x14ac:dyDescent="0.25">
      <c r="A17" s="4" t="s">
        <v>19</v>
      </c>
      <c r="B17" s="6">
        <v>0.06</v>
      </c>
      <c r="C17" s="6">
        <v>6.5000000000000002E-2</v>
      </c>
      <c r="D17" s="6">
        <f t="shared" si="0"/>
        <v>6.5000000000000002E-2</v>
      </c>
    </row>
    <row r="18" spans="1:4" x14ac:dyDescent="0.25">
      <c r="A18" s="4" t="s">
        <v>20</v>
      </c>
      <c r="B18" s="6">
        <v>0.38</v>
      </c>
      <c r="C18" s="6">
        <v>0.38</v>
      </c>
      <c r="D18" s="6">
        <f t="shared" si="0"/>
        <v>0.38</v>
      </c>
    </row>
    <row r="19" spans="1:4" x14ac:dyDescent="0.25">
      <c r="A19" s="4" t="s">
        <v>21</v>
      </c>
      <c r="B19" s="6">
        <v>0.15</v>
      </c>
      <c r="C19" s="6">
        <v>0.15</v>
      </c>
      <c r="D19" s="6">
        <f t="shared" si="0"/>
        <v>0.15</v>
      </c>
    </row>
    <row r="22" spans="1:4" x14ac:dyDescent="0.25">
      <c r="A22" s="7" t="s">
        <v>22</v>
      </c>
      <c r="B22" s="8">
        <v>350000</v>
      </c>
    </row>
    <row r="23" spans="1:4" x14ac:dyDescent="0.25">
      <c r="A23" s="7" t="s">
        <v>23</v>
      </c>
      <c r="B23" s="8">
        <v>164000</v>
      </c>
    </row>
  </sheetData>
  <mergeCells count="1">
    <mergeCell ref="A1:E1"/>
  </mergeCells>
  <dataValidations count="1">
    <dataValidation type="list" sqref="B2" xr:uid="{00000000-0002-0000-0000-000000000000}">
      <formula1>"Conservative,Moderate"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B4" sqref="B4"/>
    </sheetView>
  </sheetViews>
  <sheetFormatPr defaultRowHeight="15" x14ac:dyDescent="0.25"/>
  <cols>
    <col min="1" max="1" width="42" customWidth="1"/>
    <col min="2" max="3" width="24" customWidth="1"/>
    <col min="4" max="4" width="28" customWidth="1"/>
    <col min="5" max="5" width="26" customWidth="1"/>
    <col min="6" max="6" width="20" customWidth="1"/>
    <col min="7" max="9" width="24" customWidth="1"/>
    <col min="10" max="10" width="28" customWidth="1"/>
  </cols>
  <sheetData>
    <row r="1" spans="1:4" ht="18.75" x14ac:dyDescent="0.3">
      <c r="A1" s="12" t="s">
        <v>24</v>
      </c>
      <c r="B1" s="13"/>
      <c r="C1" s="13"/>
      <c r="D1" s="13"/>
    </row>
    <row r="3" spans="1:4" x14ac:dyDescent="0.25">
      <c r="A3" s="9" t="s">
        <v>25</v>
      </c>
      <c r="B3" s="9" t="s">
        <v>26</v>
      </c>
      <c r="C3" s="9" t="s">
        <v>27</v>
      </c>
      <c r="D3" s="9" t="s">
        <v>28</v>
      </c>
    </row>
    <row r="4" spans="1:4" x14ac:dyDescent="0.25">
      <c r="A4" s="4" t="s">
        <v>29</v>
      </c>
      <c r="B4" s="4">
        <f>(Inputs!D5*Inputs!D7 + Inputs!D6*Inputs!D8)*12</f>
        <v>306000</v>
      </c>
      <c r="C4" s="5">
        <f>(Inputs!D5*Inputs!D7 + Inputs!D6*Inputs!D8)*12</f>
        <v>306000</v>
      </c>
      <c r="D4" s="4" t="s">
        <v>30</v>
      </c>
    </row>
    <row r="5" spans="1:4" x14ac:dyDescent="0.25">
      <c r="A5" s="4" t="s">
        <v>31</v>
      </c>
      <c r="B5" s="4">
        <f>Inputs!D9*Inputs!D10 + Inputs!D11*Inputs!D12</f>
        <v>40000</v>
      </c>
      <c r="C5" s="5">
        <f>Inputs!D9*Inputs!D10 + Inputs!D11*Inputs!D12</f>
        <v>40000</v>
      </c>
      <c r="D5" s="4" t="s">
        <v>32</v>
      </c>
    </row>
    <row r="6" spans="1:4" x14ac:dyDescent="0.25">
      <c r="A6" s="10" t="s">
        <v>33</v>
      </c>
      <c r="B6" s="10">
        <f>C4+C5</f>
        <v>346000</v>
      </c>
      <c r="C6" s="11">
        <f>C4+C5</f>
        <v>346000</v>
      </c>
      <c r="D6" s="10"/>
    </row>
    <row r="7" spans="1:4" x14ac:dyDescent="0.25">
      <c r="A7" s="4" t="s">
        <v>34</v>
      </c>
      <c r="B7" s="4">
        <f>Inputs!D13</f>
        <v>45000</v>
      </c>
      <c r="C7" s="5">
        <f>Inputs!D13</f>
        <v>45000</v>
      </c>
      <c r="D7" s="4"/>
    </row>
    <row r="8" spans="1:4" x14ac:dyDescent="0.25">
      <c r="A8" s="10" t="s">
        <v>35</v>
      </c>
      <c r="B8" s="10">
        <f>C6-C7</f>
        <v>301000</v>
      </c>
      <c r="C8" s="11">
        <f>C6-C7</f>
        <v>301000</v>
      </c>
      <c r="D8" s="10"/>
    </row>
    <row r="9" spans="1:4" x14ac:dyDescent="0.25">
      <c r="A9" s="4" t="s">
        <v>36</v>
      </c>
      <c r="B9" s="4">
        <f>Inputs!D14</f>
        <v>140000</v>
      </c>
      <c r="C9" s="5">
        <f>Inputs!D14</f>
        <v>140000</v>
      </c>
      <c r="D9" s="4"/>
    </row>
    <row r="10" spans="1:4" x14ac:dyDescent="0.25">
      <c r="A10" s="4" t="s">
        <v>37</v>
      </c>
      <c r="B10" s="4">
        <f>C9*Inputs!D15</f>
        <v>10710</v>
      </c>
      <c r="C10" s="5">
        <f>C9*Inputs!D15</f>
        <v>10710</v>
      </c>
      <c r="D10" s="4"/>
    </row>
    <row r="11" spans="1:4" x14ac:dyDescent="0.25">
      <c r="A11" s="10" t="s">
        <v>38</v>
      </c>
      <c r="B11" s="10">
        <f>C8-C9-C10</f>
        <v>150290</v>
      </c>
      <c r="C11" s="11">
        <f>C8-C9-C10</f>
        <v>150290</v>
      </c>
      <c r="D11" s="10"/>
    </row>
    <row r="12" spans="1:4" x14ac:dyDescent="0.25">
      <c r="A12" s="4" t="s">
        <v>39</v>
      </c>
      <c r="B12" s="4">
        <f>Inputs!D16+Inputs!D17</f>
        <v>0.29500000000000004</v>
      </c>
      <c r="C12" s="6">
        <f>Inputs!D16+Inputs!D17</f>
        <v>0.29500000000000004</v>
      </c>
      <c r="D12" s="4"/>
    </row>
    <row r="13" spans="1:4" x14ac:dyDescent="0.25">
      <c r="A13" s="4" t="s">
        <v>40</v>
      </c>
      <c r="B13" s="4">
        <f>(C9+C11)*C12</f>
        <v>85635.550000000017</v>
      </c>
      <c r="C13" s="5">
        <f>(C9+C11)*C12</f>
        <v>85635.550000000017</v>
      </c>
      <c r="D13" s="4" t="s">
        <v>41</v>
      </c>
    </row>
    <row r="14" spans="1:4" x14ac:dyDescent="0.25">
      <c r="A14" s="10" t="s">
        <v>42</v>
      </c>
      <c r="B14" s="10">
        <f>C9+C11-C13</f>
        <v>204654.44999999998</v>
      </c>
      <c r="C14" s="11">
        <f>C9+C11-C13</f>
        <v>204654.44999999998</v>
      </c>
      <c r="D14" s="10" t="s">
        <v>43</v>
      </c>
    </row>
    <row r="15" spans="1:4" x14ac:dyDescent="0.25">
      <c r="A15" s="10" t="s">
        <v>44</v>
      </c>
      <c r="B15" s="10">
        <f>C6*Inputs!D19</f>
        <v>51900</v>
      </c>
      <c r="C15" s="11">
        <f>C6*Inputs!D19</f>
        <v>51900</v>
      </c>
      <c r="D15" s="10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B5" sqref="B5"/>
    </sheetView>
  </sheetViews>
  <sheetFormatPr defaultRowHeight="15" x14ac:dyDescent="0.25"/>
  <cols>
    <col min="1" max="1" width="42" customWidth="1"/>
    <col min="2" max="3" width="24" customWidth="1"/>
    <col min="4" max="4" width="28" customWidth="1"/>
    <col min="5" max="5" width="26" customWidth="1"/>
    <col min="6" max="6" width="20" customWidth="1"/>
    <col min="7" max="9" width="24" customWidth="1"/>
    <col min="10" max="10" width="28" customWidth="1"/>
  </cols>
  <sheetData>
    <row r="1" spans="1:10" ht="18.75" x14ac:dyDescent="0.3">
      <c r="A1" s="12" t="s">
        <v>45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25">
      <c r="A3" s="9" t="s">
        <v>46</v>
      </c>
      <c r="B3" s="9" t="s">
        <v>47</v>
      </c>
      <c r="C3" s="9" t="s">
        <v>48</v>
      </c>
      <c r="D3" s="9" t="s">
        <v>49</v>
      </c>
      <c r="E3" s="9" t="s">
        <v>37</v>
      </c>
      <c r="F3" s="9" t="s">
        <v>50</v>
      </c>
      <c r="G3" s="9" t="s">
        <v>51</v>
      </c>
      <c r="H3" s="9" t="s">
        <v>52</v>
      </c>
      <c r="I3" s="9" t="s">
        <v>53</v>
      </c>
      <c r="J3" s="9" t="s">
        <v>28</v>
      </c>
    </row>
    <row r="4" spans="1:10" x14ac:dyDescent="0.25">
      <c r="A4" s="4" t="s">
        <v>54</v>
      </c>
      <c r="B4" s="5">
        <f>Annual_Model!C6/12</f>
        <v>28833.333333333332</v>
      </c>
      <c r="C4" s="5">
        <f>Inputs!D13/12</f>
        <v>3750</v>
      </c>
      <c r="D4" s="5">
        <f>Inputs!D14/12</f>
        <v>11666.666666666666</v>
      </c>
      <c r="E4" s="5">
        <f>D4*Inputs!D15</f>
        <v>892.49999999999989</v>
      </c>
      <c r="F4" s="5">
        <f t="shared" ref="F4:F15" si="0">B4-C4-D4-E4</f>
        <v>12524.166666666666</v>
      </c>
      <c r="G4" s="5">
        <f>MAX(0,F4*Inputs!D18)</f>
        <v>4759.1833333333334</v>
      </c>
      <c r="H4" s="5">
        <f t="shared" ref="H4:H15" si="1">MAX(0,F4-G4)</f>
        <v>7764.9833333333327</v>
      </c>
      <c r="I4" s="5">
        <f>Inputs!B22*Inputs!D19/2 + H4</f>
        <v>34014.98333333333</v>
      </c>
      <c r="J4" s="4"/>
    </row>
    <row r="5" spans="1:10" x14ac:dyDescent="0.25">
      <c r="A5" s="4" t="s">
        <v>55</v>
      </c>
      <c r="B5" s="5">
        <f>Annual_Model!C6/12</f>
        <v>28833.333333333332</v>
      </c>
      <c r="C5" s="5">
        <f>Inputs!D13/12</f>
        <v>3750</v>
      </c>
      <c r="D5" s="5">
        <f>Inputs!D14/12</f>
        <v>11666.666666666666</v>
      </c>
      <c r="E5" s="5">
        <f>D5*Inputs!D15</f>
        <v>892.49999999999989</v>
      </c>
      <c r="F5" s="5">
        <f t="shared" si="0"/>
        <v>12524.166666666666</v>
      </c>
      <c r="G5" s="5">
        <f>MAX(0,F5*Inputs!D18)</f>
        <v>4759.1833333333334</v>
      </c>
      <c r="H5" s="5">
        <f t="shared" si="1"/>
        <v>7764.9833333333327</v>
      </c>
      <c r="I5" s="5">
        <f t="shared" ref="I5:I15" si="2">I4+H5</f>
        <v>41779.96666666666</v>
      </c>
      <c r="J5" s="4"/>
    </row>
    <row r="6" spans="1:10" x14ac:dyDescent="0.25">
      <c r="A6" s="4" t="s">
        <v>56</v>
      </c>
      <c r="B6" s="5">
        <f>Annual_Model!C6/12</f>
        <v>28833.333333333332</v>
      </c>
      <c r="C6" s="5">
        <f>Inputs!D13/12</f>
        <v>3750</v>
      </c>
      <c r="D6" s="5">
        <f>Inputs!D14/12</f>
        <v>11666.666666666666</v>
      </c>
      <c r="E6" s="5">
        <f>D6*Inputs!D15</f>
        <v>892.49999999999989</v>
      </c>
      <c r="F6" s="5">
        <f t="shared" si="0"/>
        <v>12524.166666666666</v>
      </c>
      <c r="G6" s="5">
        <f>MAX(0,F6*Inputs!D18)</f>
        <v>4759.1833333333334</v>
      </c>
      <c r="H6" s="5">
        <f t="shared" si="1"/>
        <v>7764.9833333333327</v>
      </c>
      <c r="I6" s="5">
        <f t="shared" si="2"/>
        <v>49544.94999999999</v>
      </c>
      <c r="J6" s="4"/>
    </row>
    <row r="7" spans="1:10" x14ac:dyDescent="0.25">
      <c r="A7" s="4" t="s">
        <v>57</v>
      </c>
      <c r="B7" s="5">
        <f>Annual_Model!C6/12</f>
        <v>28833.333333333332</v>
      </c>
      <c r="C7" s="5">
        <f>Inputs!D13/12</f>
        <v>3750</v>
      </c>
      <c r="D7" s="5">
        <f>Inputs!D14/12</f>
        <v>11666.666666666666</v>
      </c>
      <c r="E7" s="5">
        <f>D7*Inputs!D15</f>
        <v>892.49999999999989</v>
      </c>
      <c r="F7" s="5">
        <f t="shared" si="0"/>
        <v>12524.166666666666</v>
      </c>
      <c r="G7" s="5">
        <f>MAX(0,F7*Inputs!D18)</f>
        <v>4759.1833333333334</v>
      </c>
      <c r="H7" s="5">
        <f t="shared" si="1"/>
        <v>7764.9833333333327</v>
      </c>
      <c r="I7" s="5">
        <f t="shared" si="2"/>
        <v>57309.93333333332</v>
      </c>
      <c r="J7" s="4"/>
    </row>
    <row r="8" spans="1:10" x14ac:dyDescent="0.25">
      <c r="A8" s="4" t="s">
        <v>58</v>
      </c>
      <c r="B8" s="5">
        <f>Annual_Model!C6/12</f>
        <v>28833.333333333332</v>
      </c>
      <c r="C8" s="5">
        <f>Inputs!D13/12</f>
        <v>3750</v>
      </c>
      <c r="D8" s="5">
        <f>Inputs!D14/12</f>
        <v>11666.666666666666</v>
      </c>
      <c r="E8" s="5">
        <f>D8*Inputs!D15</f>
        <v>892.49999999999989</v>
      </c>
      <c r="F8" s="5">
        <f t="shared" si="0"/>
        <v>12524.166666666666</v>
      </c>
      <c r="G8" s="5">
        <f>MAX(0,F8*Inputs!D18)</f>
        <v>4759.1833333333334</v>
      </c>
      <c r="H8" s="5">
        <f t="shared" si="1"/>
        <v>7764.9833333333327</v>
      </c>
      <c r="I8" s="5">
        <f t="shared" si="2"/>
        <v>65074.91666666665</v>
      </c>
      <c r="J8" s="4"/>
    </row>
    <row r="9" spans="1:10" x14ac:dyDescent="0.25">
      <c r="A9" s="4" t="s">
        <v>59</v>
      </c>
      <c r="B9" s="5">
        <f>Annual_Model!C6/12</f>
        <v>28833.333333333332</v>
      </c>
      <c r="C9" s="5">
        <f>Inputs!D13/12</f>
        <v>3750</v>
      </c>
      <c r="D9" s="5">
        <f>Inputs!D14/12</f>
        <v>11666.666666666666</v>
      </c>
      <c r="E9" s="5">
        <f>D9*Inputs!D15</f>
        <v>892.49999999999989</v>
      </c>
      <c r="F9" s="5">
        <f t="shared" si="0"/>
        <v>12524.166666666666</v>
      </c>
      <c r="G9" s="5">
        <f>MAX(0,F9*Inputs!D18)</f>
        <v>4759.1833333333334</v>
      </c>
      <c r="H9" s="5">
        <f t="shared" si="1"/>
        <v>7764.9833333333327</v>
      </c>
      <c r="I9" s="5">
        <f t="shared" si="2"/>
        <v>72839.89999999998</v>
      </c>
      <c r="J9" s="4"/>
    </row>
    <row r="10" spans="1:10" x14ac:dyDescent="0.25">
      <c r="A10" s="4" t="s">
        <v>60</v>
      </c>
      <c r="B10" s="5">
        <f>Annual_Model!C6/12</f>
        <v>28833.333333333332</v>
      </c>
      <c r="C10" s="5">
        <f>Inputs!D13/12</f>
        <v>3750</v>
      </c>
      <c r="D10" s="5">
        <f>Inputs!D14/12</f>
        <v>11666.666666666666</v>
      </c>
      <c r="E10" s="5">
        <f>D10*Inputs!D15</f>
        <v>892.49999999999989</v>
      </c>
      <c r="F10" s="5">
        <f t="shared" si="0"/>
        <v>12524.166666666666</v>
      </c>
      <c r="G10" s="5">
        <f>MAX(0,F10*Inputs!D18)</f>
        <v>4759.1833333333334</v>
      </c>
      <c r="H10" s="5">
        <f t="shared" si="1"/>
        <v>7764.9833333333327</v>
      </c>
      <c r="I10" s="5">
        <f t="shared" si="2"/>
        <v>80604.883333333317</v>
      </c>
      <c r="J10" s="4"/>
    </row>
    <row r="11" spans="1:10" x14ac:dyDescent="0.25">
      <c r="A11" s="4" t="s">
        <v>61</v>
      </c>
      <c r="B11" s="5">
        <f>Annual_Model!C6/12</f>
        <v>28833.333333333332</v>
      </c>
      <c r="C11" s="5">
        <f>Inputs!D13/12</f>
        <v>3750</v>
      </c>
      <c r="D11" s="5">
        <f>Inputs!D14/12</f>
        <v>11666.666666666666</v>
      </c>
      <c r="E11" s="5">
        <f>D11*Inputs!D15</f>
        <v>892.49999999999989</v>
      </c>
      <c r="F11" s="5">
        <f t="shared" si="0"/>
        <v>12524.166666666666</v>
      </c>
      <c r="G11" s="5">
        <f>MAX(0,F11*Inputs!D18)</f>
        <v>4759.1833333333334</v>
      </c>
      <c r="H11" s="5">
        <f t="shared" si="1"/>
        <v>7764.9833333333327</v>
      </c>
      <c r="I11" s="5">
        <f t="shared" si="2"/>
        <v>88369.866666666654</v>
      </c>
      <c r="J11" s="4"/>
    </row>
    <row r="12" spans="1:10" x14ac:dyDescent="0.25">
      <c r="A12" s="4" t="s">
        <v>62</v>
      </c>
      <c r="B12" s="5">
        <f>Annual_Model!C6/12</f>
        <v>28833.333333333332</v>
      </c>
      <c r="C12" s="5">
        <f>Inputs!D13/12</f>
        <v>3750</v>
      </c>
      <c r="D12" s="5">
        <f>Inputs!D14/12</f>
        <v>11666.666666666666</v>
      </c>
      <c r="E12" s="5">
        <f>D12*Inputs!D15</f>
        <v>892.49999999999989</v>
      </c>
      <c r="F12" s="5">
        <f t="shared" si="0"/>
        <v>12524.166666666666</v>
      </c>
      <c r="G12" s="5">
        <f>MAX(0,F12*Inputs!D18)</f>
        <v>4759.1833333333334</v>
      </c>
      <c r="H12" s="5">
        <f t="shared" si="1"/>
        <v>7764.9833333333327</v>
      </c>
      <c r="I12" s="5">
        <f t="shared" si="2"/>
        <v>96134.849999999991</v>
      </c>
      <c r="J12" s="4"/>
    </row>
    <row r="13" spans="1:10" x14ac:dyDescent="0.25">
      <c r="A13" s="4" t="s">
        <v>63</v>
      </c>
      <c r="B13" s="5">
        <f>Annual_Model!C6/12</f>
        <v>28833.333333333332</v>
      </c>
      <c r="C13" s="5">
        <f>Inputs!D13/12</f>
        <v>3750</v>
      </c>
      <c r="D13" s="5">
        <f>Inputs!D14/12</f>
        <v>11666.666666666666</v>
      </c>
      <c r="E13" s="5">
        <f>D13*Inputs!D15</f>
        <v>892.49999999999989</v>
      </c>
      <c r="F13" s="5">
        <f t="shared" si="0"/>
        <v>12524.166666666666</v>
      </c>
      <c r="G13" s="5">
        <f>MAX(0,F13*Inputs!D18)</f>
        <v>4759.1833333333334</v>
      </c>
      <c r="H13" s="5">
        <f t="shared" si="1"/>
        <v>7764.9833333333327</v>
      </c>
      <c r="I13" s="5">
        <f t="shared" si="2"/>
        <v>103899.83333333333</v>
      </c>
      <c r="J13" s="4"/>
    </row>
    <row r="14" spans="1:10" x14ac:dyDescent="0.25">
      <c r="A14" s="4" t="s">
        <v>64</v>
      </c>
      <c r="B14" s="5">
        <f>Annual_Model!C6/12</f>
        <v>28833.333333333332</v>
      </c>
      <c r="C14" s="5">
        <f>Inputs!D13/12</f>
        <v>3750</v>
      </c>
      <c r="D14" s="5">
        <f>Inputs!D14/12</f>
        <v>11666.666666666666</v>
      </c>
      <c r="E14" s="5">
        <f>D14*Inputs!D15</f>
        <v>892.49999999999989</v>
      </c>
      <c r="F14" s="5">
        <f t="shared" si="0"/>
        <v>12524.166666666666</v>
      </c>
      <c r="G14" s="5">
        <f>MAX(0,F14*Inputs!D18)</f>
        <v>4759.1833333333334</v>
      </c>
      <c r="H14" s="5">
        <f t="shared" si="1"/>
        <v>7764.9833333333327</v>
      </c>
      <c r="I14" s="5">
        <f t="shared" si="2"/>
        <v>111664.81666666667</v>
      </c>
      <c r="J14" s="4"/>
    </row>
    <row r="15" spans="1:10" x14ac:dyDescent="0.25">
      <c r="A15" s="4" t="s">
        <v>65</v>
      </c>
      <c r="B15" s="5">
        <f>Annual_Model!C6/12</f>
        <v>28833.333333333332</v>
      </c>
      <c r="C15" s="5">
        <f>Inputs!D13/12</f>
        <v>3750</v>
      </c>
      <c r="D15" s="5">
        <f>Inputs!D14/12</f>
        <v>11666.666666666666</v>
      </c>
      <c r="E15" s="5">
        <f>D15*Inputs!D15</f>
        <v>892.49999999999989</v>
      </c>
      <c r="F15" s="5">
        <f t="shared" si="0"/>
        <v>12524.166666666666</v>
      </c>
      <c r="G15" s="5">
        <f>MAX(0,F15*Inputs!D18)</f>
        <v>4759.1833333333334</v>
      </c>
      <c r="H15" s="5">
        <f t="shared" si="1"/>
        <v>7764.9833333333327</v>
      </c>
      <c r="I15" s="5">
        <f t="shared" si="2"/>
        <v>119429.8</v>
      </c>
      <c r="J15" s="4"/>
    </row>
    <row r="17" spans="1:9" x14ac:dyDescent="0.25">
      <c r="A17" s="10" t="s">
        <v>66</v>
      </c>
      <c r="B17" s="11">
        <f t="shared" ref="B17:H17" si="3">SUM(B4:B15)</f>
        <v>346000</v>
      </c>
      <c r="C17" s="11">
        <f t="shared" si="3"/>
        <v>45000</v>
      </c>
      <c r="D17" s="11">
        <f t="shared" si="3"/>
        <v>140000.00000000003</v>
      </c>
      <c r="E17" s="11">
        <f t="shared" si="3"/>
        <v>10709.999999999998</v>
      </c>
      <c r="F17" s="11">
        <f t="shared" si="3"/>
        <v>150290</v>
      </c>
      <c r="G17" s="11">
        <f t="shared" si="3"/>
        <v>57110.200000000004</v>
      </c>
      <c r="H17" s="11">
        <f t="shared" si="3"/>
        <v>93179.8</v>
      </c>
      <c r="I17" s="11">
        <f>I15</f>
        <v>119429.8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sqref="A1:G1"/>
    </sheetView>
  </sheetViews>
  <sheetFormatPr defaultRowHeight="15" x14ac:dyDescent="0.25"/>
  <cols>
    <col min="1" max="1" width="42" customWidth="1"/>
    <col min="2" max="3" width="24" customWidth="1"/>
    <col min="4" max="4" width="28" customWidth="1"/>
    <col min="5" max="5" width="26" customWidth="1"/>
    <col min="6" max="6" width="20" customWidth="1"/>
    <col min="7" max="9" width="24" customWidth="1"/>
    <col min="10" max="10" width="28" customWidth="1"/>
  </cols>
  <sheetData>
    <row r="1" spans="1:7" ht="18.75" x14ac:dyDescent="0.3">
      <c r="A1" s="12" t="s">
        <v>67</v>
      </c>
      <c r="B1" s="13"/>
      <c r="C1" s="13"/>
      <c r="D1" s="13"/>
      <c r="E1" s="13"/>
      <c r="F1" s="13"/>
      <c r="G1" s="13"/>
    </row>
    <row r="3" spans="1:7" x14ac:dyDescent="0.25">
      <c r="A3" s="9" t="s">
        <v>25</v>
      </c>
      <c r="B3" s="9" t="s">
        <v>5</v>
      </c>
      <c r="C3" s="9" t="s">
        <v>2</v>
      </c>
      <c r="D3" s="9" t="s">
        <v>68</v>
      </c>
      <c r="E3" s="9" t="s">
        <v>28</v>
      </c>
    </row>
    <row r="4" spans="1:7" x14ac:dyDescent="0.25">
      <c r="A4" s="4" t="s">
        <v>69</v>
      </c>
      <c r="B4" s="4">
        <f>Inputs!B5</f>
        <v>4</v>
      </c>
      <c r="C4" s="4">
        <f>Inputs!C5</f>
        <v>4</v>
      </c>
      <c r="D4" s="4">
        <v>5</v>
      </c>
      <c r="E4" s="4"/>
    </row>
    <row r="5" spans="1:7" x14ac:dyDescent="0.25">
      <c r="A5" s="4" t="s">
        <v>70</v>
      </c>
      <c r="B5" s="4">
        <f>Inputs!B6</f>
        <v>0.5</v>
      </c>
      <c r="C5" s="4">
        <f>Inputs!C6</f>
        <v>1</v>
      </c>
      <c r="D5" s="4">
        <v>1</v>
      </c>
      <c r="E5" s="4"/>
    </row>
    <row r="6" spans="1:7" x14ac:dyDescent="0.25">
      <c r="A6" s="4" t="s">
        <v>9</v>
      </c>
      <c r="B6" s="5">
        <f>Inputs!B7</f>
        <v>5600</v>
      </c>
      <c r="C6" s="5">
        <f>Inputs!C7</f>
        <v>5750</v>
      </c>
      <c r="D6" s="5">
        <v>6000</v>
      </c>
      <c r="E6" s="4"/>
    </row>
    <row r="7" spans="1:7" x14ac:dyDescent="0.25">
      <c r="A7" s="4" t="s">
        <v>10</v>
      </c>
      <c r="B7" s="5">
        <f>Inputs!B8</f>
        <v>2400</v>
      </c>
      <c r="C7" s="5">
        <f>Inputs!C8</f>
        <v>2500</v>
      </c>
      <c r="D7" s="5">
        <v>2800</v>
      </c>
      <c r="E7" s="4"/>
    </row>
    <row r="8" spans="1:7" x14ac:dyDescent="0.25">
      <c r="A8" s="4" t="s">
        <v>29</v>
      </c>
      <c r="B8" s="5">
        <f>(B4*B6 + B5*B7)*12</f>
        <v>283200</v>
      </c>
      <c r="C8" s="5">
        <f>(C4*C6 + C5*C7)*12</f>
        <v>306000</v>
      </c>
      <c r="D8" s="5">
        <f>(D4*D6 + D5*D7)*12</f>
        <v>393600</v>
      </c>
      <c r="E8" s="4"/>
    </row>
    <row r="9" spans="1:7" x14ac:dyDescent="0.25">
      <c r="A9" s="4" t="s">
        <v>71</v>
      </c>
      <c r="B9" s="4">
        <f>Inputs!B9</f>
        <v>6</v>
      </c>
      <c r="C9" s="4">
        <f>Inputs!C9</f>
        <v>6</v>
      </c>
      <c r="D9" s="4">
        <v>7</v>
      </c>
      <c r="E9" s="4"/>
    </row>
    <row r="10" spans="1:7" x14ac:dyDescent="0.25">
      <c r="A10" s="4" t="s">
        <v>72</v>
      </c>
      <c r="B10" s="5">
        <f>Inputs!B10</f>
        <v>5200</v>
      </c>
      <c r="C10" s="5">
        <f>Inputs!C10</f>
        <v>5500</v>
      </c>
      <c r="D10" s="5">
        <v>6000</v>
      </c>
      <c r="E10" s="4"/>
    </row>
    <row r="11" spans="1:7" x14ac:dyDescent="0.25">
      <c r="A11" s="4" t="s">
        <v>73</v>
      </c>
      <c r="B11" s="4">
        <f>Inputs!B11</f>
        <v>3</v>
      </c>
      <c r="C11" s="4">
        <f>Inputs!C11</f>
        <v>4</v>
      </c>
      <c r="D11" s="4">
        <v>4</v>
      </c>
      <c r="E11" s="4"/>
    </row>
    <row r="12" spans="1:7" x14ac:dyDescent="0.25">
      <c r="A12" s="4" t="s">
        <v>74</v>
      </c>
      <c r="B12" s="5">
        <f>Inputs!B12</f>
        <v>1600</v>
      </c>
      <c r="C12" s="5">
        <f>Inputs!C12</f>
        <v>1750</v>
      </c>
      <c r="D12" s="5">
        <v>2000</v>
      </c>
      <c r="E12" s="4"/>
    </row>
    <row r="13" spans="1:7" x14ac:dyDescent="0.25">
      <c r="A13" s="4" t="s">
        <v>31</v>
      </c>
      <c r="B13" s="5">
        <f>B9*B10 + B11*B12</f>
        <v>36000</v>
      </c>
      <c r="C13" s="5">
        <f>C9*C10 + C11*C12</f>
        <v>40000</v>
      </c>
      <c r="D13" s="5">
        <f>D9*D10 + D11*D12</f>
        <v>50000</v>
      </c>
      <c r="E13" s="4"/>
    </row>
    <row r="14" spans="1:7" x14ac:dyDescent="0.25">
      <c r="A14" s="4" t="s">
        <v>75</v>
      </c>
      <c r="B14" s="5">
        <f>B8+B13</f>
        <v>319200</v>
      </c>
      <c r="C14" s="5">
        <f>C8+C13</f>
        <v>346000</v>
      </c>
      <c r="D14" s="5">
        <f>D8+D13</f>
        <v>443600</v>
      </c>
      <c r="E14" s="4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"/>
  <sheetViews>
    <sheetView workbookViewId="0"/>
  </sheetViews>
  <sheetFormatPr defaultRowHeight="15" x14ac:dyDescent="0.25"/>
  <cols>
    <col min="1" max="1" width="42" customWidth="1"/>
    <col min="2" max="3" width="24" customWidth="1"/>
    <col min="4" max="4" width="28" customWidth="1"/>
    <col min="5" max="5" width="26" customWidth="1"/>
    <col min="6" max="6" width="20" customWidth="1"/>
    <col min="7" max="9" width="24" customWidth="1"/>
    <col min="10" max="10" width="28" customWidth="1"/>
  </cols>
  <sheetData>
    <row r="1" spans="1:1" ht="18.75" x14ac:dyDescent="0.3">
      <c r="A1" s="1" t="s">
        <v>76</v>
      </c>
    </row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Annual_Model</vt:lpstr>
      <vt:lpstr>Monthly_Cashflow</vt:lpstr>
      <vt:lpstr>Scenario_Compare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Semenza</cp:lastModifiedBy>
  <dcterms:created xsi:type="dcterms:W3CDTF">2026-02-23T05:06:05Z</dcterms:created>
  <dcterms:modified xsi:type="dcterms:W3CDTF">2026-02-23T05:08:32Z</dcterms:modified>
</cp:coreProperties>
</file>